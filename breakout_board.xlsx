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4d54226a18487d/Documents/"/>
    </mc:Choice>
  </mc:AlternateContent>
  <xr:revisionPtr revIDLastSave="166" documentId="8_{FAB08C7B-F509-4304-A052-DC3D700E139A}" xr6:coauthVersionLast="47" xr6:coauthVersionMax="47" xr10:uidLastSave="{828262A8-6F9F-44D8-88B2-E229F0B0FDA0}"/>
  <bookViews>
    <workbookView xWindow="-108" yWindow="-108" windowWidth="23256" windowHeight="12456" tabRatio="185" xr2:uid="{6E7D29C7-F9A5-45FD-8C14-8D82015010BC}"/>
  </bookViews>
  <sheets>
    <sheet name="breakout_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2" i="1"/>
</calcChain>
</file>

<file path=xl/sharedStrings.xml><?xml version="1.0" encoding="utf-8"?>
<sst xmlns="http://schemas.openxmlformats.org/spreadsheetml/2006/main" count="93" uniqueCount="75">
  <si>
    <t>Reference</t>
  </si>
  <si>
    <t>Qty</t>
  </si>
  <si>
    <t>Value</t>
  </si>
  <si>
    <t>Footprint</t>
  </si>
  <si>
    <t>C1,C9</t>
  </si>
  <si>
    <t>10u</t>
  </si>
  <si>
    <t>Capacitor_SMD:C_0603_1608Metric_Pad1.08x0.95mm_HandSolder</t>
  </si>
  <si>
    <t>C6,DC1,DC2,DC3,DC4</t>
  </si>
  <si>
    <t>100n</t>
  </si>
  <si>
    <t>C7,C8</t>
  </si>
  <si>
    <t>22p</t>
  </si>
  <si>
    <t>D1,D2,D3</t>
  </si>
  <si>
    <t>LED</t>
  </si>
  <si>
    <t>LED_SMD:LED_0603_1608Metric_Pad1.05x0.95mm_HandSolder</t>
  </si>
  <si>
    <t>IC2</t>
  </si>
  <si>
    <t>AS5600-ASOT</t>
  </si>
  <si>
    <t>customs:SOIC127P600X175-8N</t>
  </si>
  <si>
    <t>Connector_PinHeader_2.54mm:PinHeader_1x04_P2.54mm_Vertical</t>
  </si>
  <si>
    <t>J3</t>
  </si>
  <si>
    <t>USB_C_Receptacle_USB2.0_16P</t>
  </si>
  <si>
    <t>Connector_USB:USB_C_Receptacle_GCT_USB4105-xx-A_16P_TopMnt_Horizontal</t>
  </si>
  <si>
    <t>R1,R4</t>
  </si>
  <si>
    <t>5k1</t>
  </si>
  <si>
    <t>Resistor_SMD:R_0603_1608Metric_Pad0.98x0.95mm_HandSolder</t>
  </si>
  <si>
    <t>R2,R3</t>
  </si>
  <si>
    <t>4.7k</t>
  </si>
  <si>
    <t>R5,R7</t>
  </si>
  <si>
    <t>1k5</t>
  </si>
  <si>
    <t>R6,R8</t>
  </si>
  <si>
    <t>1k</t>
  </si>
  <si>
    <t>U1</t>
  </si>
  <si>
    <t>STM32F103C8Tx</t>
  </si>
  <si>
    <t>Package_QFP:LQFP-48_7x7mm_P0.5mm</t>
  </si>
  <si>
    <t>U2</t>
  </si>
  <si>
    <t>AMS1117-3.3</t>
  </si>
  <si>
    <t>Package_TO_SOT_SMD:SOT-223-3_TabPin2</t>
  </si>
  <si>
    <t>Y2</t>
  </si>
  <si>
    <t>Crystal</t>
  </si>
  <si>
    <t>Crystal:Crystal_SMD_HC49-SD_HandSoldering</t>
  </si>
  <si>
    <t>Unit Price</t>
  </si>
  <si>
    <t>Total Amt.</t>
  </si>
  <si>
    <t>Link</t>
  </si>
  <si>
    <t>Vendor</t>
  </si>
  <si>
    <t>Sharvi electronics</t>
  </si>
  <si>
    <t>https://sharvielectronics.com/product/stm32f103c8t6-arm-microcontroller-lqfp-48-package/</t>
  </si>
  <si>
    <t>https://sharvielectronics.com/product/hc49-u-10mhz-surface-mount-crystal-oscillator-10mhz-crystal/</t>
  </si>
  <si>
    <t>https://sharvielectronics.com/product/ams1117-3-3-3-3v-1a-voltage-regulator-ic-sot-223-package/</t>
  </si>
  <si>
    <t>https://sharvielectronics.com/product/1k-ohm-1-10-watt-resistor-1-tolerance-rc0603fr-071kl-0603-package/</t>
  </si>
  <si>
    <t>https://sharvielectronics.com/product/1-5k-ohm-1-10-watt-resistor-1-tolerance-0603saf1501t5e-0603-package/</t>
  </si>
  <si>
    <t>https://sharvielectronics.com/product/4-7k-ohm-1-10-watt-resistor-1-tolerance-0603saf4701t5e-0603-package/</t>
  </si>
  <si>
    <t>https://sharvielectronics.com/product/5-1k-ohm-1-10-watt-resistor-1-tolerance-rc0603fr-075k1l-0603-package/</t>
  </si>
  <si>
    <t>https://sharvielectronics.com/product/10uf-10000nf-25v-capacitor-20-tolerance-0603x106m250ct-0603-package/</t>
  </si>
  <si>
    <t>https://sharvielectronics.com/product/0-1uf-100nf-100v-capacitor-%c2%b110-tolerance-cc0603krx7r0bb104-0603-package/</t>
  </si>
  <si>
    <t>https://sharvielectronics.com/product/22pf-0-022nf-100v-capacitor-5-tolerance-cc0603jrnpo0bn220-0603-package/</t>
  </si>
  <si>
    <t>https://sharvielectronics.com/product/hq27-2101sygc-parrot-green-smd-led-right-angle-side-view-0603-package/</t>
  </si>
  <si>
    <t>https://sharvielectronics.com/product/as5600-12-bit-magnetic-encoder-sensor-module/</t>
  </si>
  <si>
    <t>https://sharvielectronics.com/product/16-pin-c-type-usb-connector-smd-package/</t>
  </si>
  <si>
    <t>https://sharvielectronics.com/product/4x1-4pin-male-square-straight-header-connector-11mm-height-2-54mm-pitch/</t>
  </si>
  <si>
    <t xml:space="preserve"> Dummy Pins and Debugger</t>
  </si>
  <si>
    <t>J1,J2</t>
  </si>
  <si>
    <t>SKU</t>
  </si>
  <si>
    <t>ST2103SD2646</t>
  </si>
  <si>
    <t>ST2103SD2091</t>
  </si>
  <si>
    <t>ST2103SD2257</t>
  </si>
  <si>
    <t>ST2103SD2102</t>
  </si>
  <si>
    <t>ST2010SM1805</t>
  </si>
  <si>
    <t>ST2136CO7400</t>
  </si>
  <si>
    <t>ST2103SD0931</t>
  </si>
  <si>
    <t>ST2009SD0557</t>
  </si>
  <si>
    <t>ST2009SD0415</t>
  </si>
  <si>
    <t>ST2009SD0389</t>
  </si>
  <si>
    <t>ST2103SD1187</t>
  </si>
  <si>
    <t>ST2103SD0969</t>
  </si>
  <si>
    <t>ST2009SD0350</t>
  </si>
  <si>
    <t>ST2103SD0980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</si>
</sst>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arvielectronics.com/product/as5600-12-bit-magnetic-encoder-sensor-module/" TargetMode="External"/><Relationship Id="rId13" Type="http://schemas.openxmlformats.org/officeDocument/2006/relationships/hyperlink" Target="https://sharvielectronics.com/product/1k-ohm-1-10-watt-resistor-1-tolerance-rc0603fr-071kl-0603-package/" TargetMode="External"/><Relationship Id="rId3" Type="http://schemas.openxmlformats.org/officeDocument/2006/relationships/hyperlink" Target="https://sharvielectronics.com/product/ams1117-3-3-3-3v-1a-voltage-regulator-ic-sot-223-package/" TargetMode="External"/><Relationship Id="rId7" Type="http://schemas.openxmlformats.org/officeDocument/2006/relationships/hyperlink" Target="https://sharvielectronics.com/product/hq27-2101sygc-parrot-green-smd-led-right-angle-side-view-0603-package/" TargetMode="External"/><Relationship Id="rId12" Type="http://schemas.openxmlformats.org/officeDocument/2006/relationships/hyperlink" Target="https://sharvielectronics.com/product/5-1k-ohm-1-10-watt-resistor-1-tolerance-rc0603fr-075k1l-0603-package/" TargetMode="External"/><Relationship Id="rId2" Type="http://schemas.openxmlformats.org/officeDocument/2006/relationships/hyperlink" Target="https://sharvielectronics.com/product/hc49-u-10mhz-surface-mount-crystal-oscillator-10mhz-crystal/" TargetMode="External"/><Relationship Id="rId1" Type="http://schemas.openxmlformats.org/officeDocument/2006/relationships/hyperlink" Target="https://sharvielectronics.com/product/stm32f103c8t6-arm-microcontroller-lqfp-48-package/" TargetMode="External"/><Relationship Id="rId6" Type="http://schemas.openxmlformats.org/officeDocument/2006/relationships/hyperlink" Target="https://sharvielectronics.com/product/22pf-0-022nf-100v-capacitor-5-tolerance-cc0603jrnpo0bn220-0603-package/" TargetMode="External"/><Relationship Id="rId11" Type="http://schemas.openxmlformats.org/officeDocument/2006/relationships/hyperlink" Target="https://sharvielectronics.com/product/4-7k-ohm-1-10-watt-resistor-1-tolerance-0603saf4701t5e-0603-package/" TargetMode="External"/><Relationship Id="rId5" Type="http://schemas.openxmlformats.org/officeDocument/2006/relationships/hyperlink" Target="https://sharvielectronics.com/product/0-1uf-100nf-100v-capacitor-%c2%b110-tolerance-cc0603krx7r0bb104-0603-package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sharvielectronics.com/product/16-pin-c-type-usb-connector-smd-package/" TargetMode="External"/><Relationship Id="rId4" Type="http://schemas.openxmlformats.org/officeDocument/2006/relationships/hyperlink" Target="https://sharvielectronics.com/product/10uf-10000nf-25v-capacitor-20-tolerance-0603x106m250ct-0603-package/" TargetMode="External"/><Relationship Id="rId9" Type="http://schemas.openxmlformats.org/officeDocument/2006/relationships/hyperlink" Target="https://sharvielectronics.com/product/4x1-4pin-male-square-straight-header-connector-11mm-height-2-54mm-pitch/" TargetMode="External"/><Relationship Id="rId14" Type="http://schemas.openxmlformats.org/officeDocument/2006/relationships/hyperlink" Target="https://sharvielectronics.com/product/1-5k-ohm-1-10-watt-resistor-1-tolerance-0603saf1501t5e-0603-pack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47B9-ADB3-4718-B8CB-AA964270375C}">
  <dimension ref="A1:I15"/>
  <sheetViews>
    <sheetView tabSelected="1" zoomScale="125" workbookViewId="0">
      <selection activeCell="F16" sqref="F16"/>
    </sheetView>
  </sheetViews>
  <sheetFormatPr defaultRowHeight="14.4" x14ac:dyDescent="0.3"/>
  <cols>
    <col min="1" max="1" width="19.88671875" customWidth="1"/>
    <col min="2" max="2" width="13.6640625" customWidth="1"/>
    <col min="3" max="3" width="6.6640625" customWidth="1"/>
    <col min="4" max="4" width="28" customWidth="1"/>
    <col min="5" max="5" width="10.33203125" customWidth="1"/>
    <col min="6" max="6" width="10.109375" customWidth="1"/>
    <col min="7" max="7" width="18.21875" customWidth="1"/>
    <col min="8" max="8" width="15.33203125" customWidth="1"/>
    <col min="9" max="9" width="65.109375" customWidth="1"/>
  </cols>
  <sheetData>
    <row r="1" spans="1:9" x14ac:dyDescent="0.3">
      <c r="A1" t="s">
        <v>0</v>
      </c>
      <c r="B1" t="s">
        <v>60</v>
      </c>
      <c r="C1" t="s">
        <v>1</v>
      </c>
      <c r="D1" t="s">
        <v>2</v>
      </c>
      <c r="E1" t="s">
        <v>39</v>
      </c>
      <c r="F1" t="s">
        <v>40</v>
      </c>
      <c r="G1" t="s">
        <v>41</v>
      </c>
      <c r="H1" t="s">
        <v>42</v>
      </c>
      <c r="I1" t="s">
        <v>3</v>
      </c>
    </row>
    <row r="2" spans="1:9" x14ac:dyDescent="0.3">
      <c r="A2" t="s">
        <v>4</v>
      </c>
      <c r="B2" t="s">
        <v>63</v>
      </c>
      <c r="C2">
        <v>2</v>
      </c>
      <c r="D2" t="s">
        <v>5</v>
      </c>
      <c r="E2">
        <v>2.98</v>
      </c>
      <c r="F2">
        <f>(C2*E2)</f>
        <v>5.96</v>
      </c>
      <c r="G2" s="1" t="s">
        <v>51</v>
      </c>
      <c r="H2" t="s">
        <v>43</v>
      </c>
      <c r="I2" t="s">
        <v>6</v>
      </c>
    </row>
    <row r="3" spans="1:9" x14ac:dyDescent="0.3">
      <c r="A3" t="s">
        <v>7</v>
      </c>
      <c r="B3" t="s">
        <v>62</v>
      </c>
      <c r="C3">
        <v>5</v>
      </c>
      <c r="D3" t="s">
        <v>8</v>
      </c>
      <c r="E3">
        <v>2.15</v>
      </c>
      <c r="F3">
        <f t="shared" ref="F3:F15" si="0">(C3*E3)</f>
        <v>10.75</v>
      </c>
      <c r="G3" s="1" t="s">
        <v>52</v>
      </c>
      <c r="H3" t="s">
        <v>43</v>
      </c>
      <c r="I3" t="s">
        <v>6</v>
      </c>
    </row>
    <row r="4" spans="1:9" x14ac:dyDescent="0.3">
      <c r="A4" t="s">
        <v>9</v>
      </c>
      <c r="B4" t="s">
        <v>64</v>
      </c>
      <c r="C4">
        <v>2</v>
      </c>
      <c r="D4" t="s">
        <v>10</v>
      </c>
      <c r="E4">
        <v>2.15</v>
      </c>
      <c r="F4">
        <f t="shared" si="0"/>
        <v>4.3</v>
      </c>
      <c r="G4" s="1" t="s">
        <v>53</v>
      </c>
      <c r="H4" t="s">
        <v>43</v>
      </c>
      <c r="I4" t="s">
        <v>6</v>
      </c>
    </row>
    <row r="5" spans="1:9" x14ac:dyDescent="0.3">
      <c r="A5" t="s">
        <v>11</v>
      </c>
      <c r="B5" t="s">
        <v>61</v>
      </c>
      <c r="C5">
        <v>3</v>
      </c>
      <c r="D5" t="s">
        <v>12</v>
      </c>
      <c r="E5">
        <v>1.89</v>
      </c>
      <c r="F5">
        <f t="shared" si="0"/>
        <v>5.67</v>
      </c>
      <c r="G5" s="1" t="s">
        <v>54</v>
      </c>
      <c r="H5" t="s">
        <v>43</v>
      </c>
      <c r="I5" t="s">
        <v>13</v>
      </c>
    </row>
    <row r="6" spans="1:9" x14ac:dyDescent="0.3">
      <c r="A6" t="s">
        <v>14</v>
      </c>
      <c r="B6" t="s">
        <v>65</v>
      </c>
      <c r="C6">
        <v>1</v>
      </c>
      <c r="D6" t="s">
        <v>15</v>
      </c>
      <c r="E6">
        <v>135.91</v>
      </c>
      <c r="F6">
        <f t="shared" si="0"/>
        <v>135.91</v>
      </c>
      <c r="G6" s="1" t="s">
        <v>55</v>
      </c>
      <c r="H6" t="s">
        <v>43</v>
      </c>
      <c r="I6" t="s">
        <v>16</v>
      </c>
    </row>
    <row r="7" spans="1:9" x14ac:dyDescent="0.3">
      <c r="A7" t="s">
        <v>59</v>
      </c>
      <c r="B7" t="s">
        <v>66</v>
      </c>
      <c r="C7">
        <v>2</v>
      </c>
      <c r="D7" t="s">
        <v>58</v>
      </c>
      <c r="E7">
        <v>2.15</v>
      </c>
      <c r="F7">
        <f t="shared" si="0"/>
        <v>4.3</v>
      </c>
      <c r="G7" s="1" t="s">
        <v>57</v>
      </c>
      <c r="H7" t="s">
        <v>43</v>
      </c>
      <c r="I7" t="s">
        <v>17</v>
      </c>
    </row>
    <row r="8" spans="1:9" x14ac:dyDescent="0.3">
      <c r="A8" t="s">
        <v>18</v>
      </c>
      <c r="B8" t="s">
        <v>67</v>
      </c>
      <c r="C8">
        <v>1</v>
      </c>
      <c r="D8" t="s">
        <v>19</v>
      </c>
      <c r="E8">
        <v>17.45</v>
      </c>
      <c r="F8">
        <f t="shared" si="0"/>
        <v>17.45</v>
      </c>
      <c r="G8" s="1" t="s">
        <v>56</v>
      </c>
      <c r="H8" t="s">
        <v>43</v>
      </c>
      <c r="I8" t="s">
        <v>20</v>
      </c>
    </row>
    <row r="9" spans="1:9" x14ac:dyDescent="0.3">
      <c r="A9" t="s">
        <v>21</v>
      </c>
      <c r="B9" t="s">
        <v>68</v>
      </c>
      <c r="C9">
        <v>2</v>
      </c>
      <c r="D9" t="s">
        <v>22</v>
      </c>
      <c r="E9">
        <v>0.85</v>
      </c>
      <c r="F9">
        <f t="shared" si="0"/>
        <v>1.7</v>
      </c>
      <c r="G9" s="1" t="s">
        <v>50</v>
      </c>
      <c r="H9" t="s">
        <v>43</v>
      </c>
      <c r="I9" t="s">
        <v>23</v>
      </c>
    </row>
    <row r="10" spans="1:9" x14ac:dyDescent="0.3">
      <c r="A10" t="s">
        <v>24</v>
      </c>
      <c r="B10" t="s">
        <v>69</v>
      </c>
      <c r="C10">
        <v>2</v>
      </c>
      <c r="D10" t="s">
        <v>25</v>
      </c>
      <c r="E10">
        <v>0.85</v>
      </c>
      <c r="F10">
        <f t="shared" si="0"/>
        <v>1.7</v>
      </c>
      <c r="G10" s="1" t="s">
        <v>49</v>
      </c>
      <c r="H10" t="s">
        <v>43</v>
      </c>
      <c r="I10" t="s">
        <v>23</v>
      </c>
    </row>
    <row r="11" spans="1:9" x14ac:dyDescent="0.3">
      <c r="A11" t="s">
        <v>26</v>
      </c>
      <c r="B11" t="s">
        <v>70</v>
      </c>
      <c r="C11">
        <v>2</v>
      </c>
      <c r="D11" t="s">
        <v>27</v>
      </c>
      <c r="E11">
        <v>0.95</v>
      </c>
      <c r="F11">
        <f t="shared" si="0"/>
        <v>1.9</v>
      </c>
      <c r="G11" s="1" t="s">
        <v>48</v>
      </c>
      <c r="H11" t="s">
        <v>43</v>
      </c>
      <c r="I11" t="s">
        <v>23</v>
      </c>
    </row>
    <row r="12" spans="1:9" x14ac:dyDescent="0.3">
      <c r="A12" t="s">
        <v>28</v>
      </c>
      <c r="B12" t="s">
        <v>71</v>
      </c>
      <c r="C12">
        <v>2</v>
      </c>
      <c r="D12" t="s">
        <v>29</v>
      </c>
      <c r="E12">
        <v>1.24</v>
      </c>
      <c r="F12">
        <f t="shared" si="0"/>
        <v>2.48</v>
      </c>
      <c r="G12" s="1" t="s">
        <v>47</v>
      </c>
      <c r="H12" t="s">
        <v>43</v>
      </c>
      <c r="I12" t="s">
        <v>23</v>
      </c>
    </row>
    <row r="13" spans="1:9" x14ac:dyDescent="0.3">
      <c r="A13" t="s">
        <v>30</v>
      </c>
      <c r="B13" t="s">
        <v>72</v>
      </c>
      <c r="C13">
        <v>1</v>
      </c>
      <c r="D13" t="s">
        <v>31</v>
      </c>
      <c r="E13">
        <v>118.75</v>
      </c>
      <c r="F13">
        <f t="shared" si="0"/>
        <v>118.75</v>
      </c>
      <c r="G13" s="1" t="s">
        <v>44</v>
      </c>
      <c r="H13" t="s">
        <v>43</v>
      </c>
      <c r="I13" t="s">
        <v>32</v>
      </c>
    </row>
    <row r="14" spans="1:9" x14ac:dyDescent="0.3">
      <c r="A14" t="s">
        <v>33</v>
      </c>
      <c r="B14" t="s">
        <v>73</v>
      </c>
      <c r="C14">
        <v>1</v>
      </c>
      <c r="D14" t="s">
        <v>34</v>
      </c>
      <c r="E14">
        <v>6.75</v>
      </c>
      <c r="F14">
        <f t="shared" si="0"/>
        <v>6.75</v>
      </c>
      <c r="G14" s="1" t="s">
        <v>46</v>
      </c>
      <c r="H14" t="s">
        <v>43</v>
      </c>
      <c r="I14" t="s">
        <v>35</v>
      </c>
    </row>
    <row r="15" spans="1:9" x14ac:dyDescent="0.3">
      <c r="A15" t="s">
        <v>36</v>
      </c>
      <c r="B15" t="s">
        <v>74</v>
      </c>
      <c r="C15">
        <v>1</v>
      </c>
      <c r="D15" t="s">
        <v>37</v>
      </c>
      <c r="E15">
        <v>7.65</v>
      </c>
      <c r="F15">
        <f t="shared" si="0"/>
        <v>7.65</v>
      </c>
      <c r="G15" s="1" t="s">
        <v>45</v>
      </c>
      <c r="H15" t="s">
        <v>43</v>
      </c>
      <c r="I15" t="s">
        <v>38</v>
      </c>
    </row>
  </sheetData>
  <hyperlinks>
    <hyperlink ref="G13" r:id="rId1" xr:uid="{15DAF51F-271B-487F-9209-71ED036AF81B}"/>
    <hyperlink ref="G15" r:id="rId2" xr:uid="{EBECBA7A-816B-464E-ACE9-63DB67D98C9D}"/>
    <hyperlink ref="G14" r:id="rId3" xr:uid="{D71DEFC7-0481-4C62-B265-8283DF5D939A}"/>
    <hyperlink ref="G2" r:id="rId4" xr:uid="{528EE69B-822C-4CD5-8379-9F6E8ADC8497}"/>
    <hyperlink ref="G3" r:id="rId5" xr:uid="{66410A2C-752E-48CD-9065-E17AB64CEE4F}"/>
    <hyperlink ref="G4" r:id="rId6" xr:uid="{79E65DA4-080A-4747-8969-13DE9DDBB705}"/>
    <hyperlink ref="G5" r:id="rId7" xr:uid="{8B0F2803-BA87-4F72-A396-749F90A0C283}"/>
    <hyperlink ref="G6" r:id="rId8" xr:uid="{8C5B1BAD-6B23-420D-A71E-240001766C65}"/>
    <hyperlink ref="G7" r:id="rId9" xr:uid="{4A49F147-1B89-4F1B-9BA7-C00713880022}"/>
    <hyperlink ref="G8" r:id="rId10" xr:uid="{B095E3EB-0DC2-4B66-A029-BBAFA1A2CE7F}"/>
    <hyperlink ref="G10" r:id="rId11" xr:uid="{2CF7D542-F13A-49A6-9A51-A007E9B0FA06}"/>
    <hyperlink ref="G9" r:id="rId12" xr:uid="{83EF3F17-B2AB-4BEC-9D9B-2570128AC881}"/>
    <hyperlink ref="G12" r:id="rId13" xr:uid="{0C827C14-FF30-4E75-B0C9-4959D9F3AF01}"/>
    <hyperlink ref="G11" r:id="rId14" xr:uid="{DA3A6453-BF23-4F6D-878A-A6121CD56406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breakout_board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Tanya Singh</cp:lastModifiedBy>
  <dcterms:created xsi:type="dcterms:W3CDTF">2026-02-18T17:22:44Z</dcterms:created>
  <dcterms:modified xsi:type="dcterms:W3CDTF">2026-02-18T18:26:52Z</dcterms:modified>
</cp:coreProperties>
</file>